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FINUR" sheetId="1" state="visible" r:id="rId3"/>
    <sheet name="Cómo se calcula" sheetId="2" state="visible" r:id="rId4"/>
  </sheets>
  <definedNames>
    <definedName function="false" hidden="true" localSheetId="0" name="_xlnm._FilterDatabase" vbProcedure="false">DOFINUR!$A$5:$L$17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Dato del usuario: aumento de 3 % sobre el premio de la póliza. Cambiarlo recalcula objetivo y bonificación.</t>
        </r>
      </text>
    </comment>
  </commentList>
</comments>
</file>

<file path=xl/sharedStrings.xml><?xml version="1.0" encoding="utf-8"?>
<sst xmlns="http://schemas.openxmlformats.org/spreadsheetml/2006/main" count="58" uniqueCount="44">
  <si>
    <t xml:space="preserve">DOFINUR SA — Bonificación comercial en BSE (renovación 01/11/2026 – 31/10/2027)</t>
  </si>
  <si>
    <t xml:space="preserve">Aumento objetivo sobre el premio de la póliza</t>
  </si>
  <si>
    <t xml:space="preserve">Fuente: Portal del Asesor BSE, Consulta de Cotizaciones, 20/10/2026. Azul = dato cargado a mano (BSE / resultado); negro = fórmula. No se emitió ninguna póliza.</t>
  </si>
  <si>
    <t xml:space="preserve">Cotización</t>
  </si>
  <si>
    <t xml:space="preserve">Póliza</t>
  </si>
  <si>
    <t xml:space="preserve">Premio cotización BSE ($)</t>
  </si>
  <si>
    <t xml:space="preserve">Premio póliza ($)</t>
  </si>
  <si>
    <t xml:space="preserve">Objetivo póliza + aumento ($)</t>
  </si>
  <si>
    <t xml:space="preserve">Bonificación calculada</t>
  </si>
  <si>
    <t xml:space="preserve">Bonificación cargada</t>
  </si>
  <si>
    <t xml:space="preserve">Total final en BSE ($)</t>
  </si>
  <si>
    <t xml:space="preserve">Diferencia vs objetivo ($)</t>
  </si>
  <si>
    <t xml:space="preserve">Variación vs póliza</t>
  </si>
  <si>
    <t xml:space="preserve">Estado</t>
  </si>
  <si>
    <t xml:space="preserve">Nota</t>
  </si>
  <si>
    <t xml:space="preserve">Hecha</t>
  </si>
  <si>
    <t xml:space="preserve">Guardada con éxito.</t>
  </si>
  <si>
    <t xml:space="preserve">A medias</t>
  </si>
  <si>
    <t xml:space="preserve">BSE guardó 28,52 % pero no recalculó el premio. Revisar en BSE: volver a 0,00 o recalcular.</t>
  </si>
  <si>
    <t xml:space="preserve">No toma la bonificación</t>
  </si>
  <si>
    <t xml:space="preserve">3 intentos: Planes no recalcula. No se guardó. Revisar en BSE.</t>
  </si>
  <si>
    <t xml:space="preserve">Salteada</t>
  </si>
  <si>
    <t xml:space="preserve">Ya tenía 40 % de bonificación cargada; no se tocó. Llegar a +3 % pediría más de 50 %.</t>
  </si>
  <si>
    <t xml:space="preserve">No alcanza</t>
  </si>
  <si>
    <t xml:space="preserve">BSE ya cotizó por debajo del objetivo; queda la cotización de BSE.</t>
  </si>
  <si>
    <t xml:space="preserve">Resumen</t>
  </si>
  <si>
    <t xml:space="preserve">Cotizaciones</t>
  </si>
  <si>
    <t xml:space="preserve">Hechas</t>
  </si>
  <si>
    <t xml:space="preserve">Pendientes de revisar en BSE</t>
  </si>
  <si>
    <t xml:space="preserve">No alcanzan con descuento</t>
  </si>
  <si>
    <t xml:space="preserve">Premio póliza de las hechas ($)</t>
  </si>
  <si>
    <t xml:space="preserve">Total final de las hechas ($)</t>
  </si>
  <si>
    <t xml:space="preserve">Variación de las hechas</t>
  </si>
  <si>
    <t xml:space="preserve">Cómo se calcula</t>
  </si>
  <si>
    <t xml:space="preserve">C = Premio cotización BSE (lo que BSE cotiza para renovar). P = Premio póliza (lo que paga hoy).</t>
  </si>
  <si>
    <t xml:space="preserve">Objetivo = P × (1 + aumento). El aumento está en la celda D2 de la hoja DOFINUR.</t>
  </si>
  <si>
    <t xml:space="preserve">Bonificación a cargar en BSE = (1 − Objetivo / C) × 100, redondeada a 2 decimales.</t>
  </si>
  <si>
    <t xml:space="preserve">Si C ya está por debajo del objetivo, la bonificación (que solo baja el precio) no sirve: queda la cotización de BSE.</t>
  </si>
  <si>
    <t xml:space="preserve">BSE redondea las cuotas, por eso el total final difiere unos pesos del objetivo.</t>
  </si>
  <si>
    <t xml:space="preserve">Bonificaciones mayores a 10 % quedan «fuera de pauta» en BSE y piden autorización antes de emitir.</t>
  </si>
  <si>
    <t xml:space="preserve">Lo que se aprendió en esta corrida</t>
  </si>
  <si>
    <t xml:space="preserve">Hay que esperar unos 3 segundos después de cargar el valor y otros 3 en Coberturas; si no, Planes muestra el total viejo.</t>
  </si>
  <si>
    <t xml:space="preserve">62010252 y 62010253 no recalculan ni con esperas: revisarlas a mano en BSE.</t>
  </si>
  <si>
    <t xml:space="preserve">62010250 ya tenía 40 % de bonificación cargada y se dejó como estaba.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</si>
</sst>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;&quot;($&quot;#,##0\);\-"/>
    <numFmt numFmtId="167" formatCode="0.00%;\-0.00%;\-"/>
    <numFmt numFmtId="168" formatCode="General"/>
    <numFmt numFmtId="169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661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5257"/>
        <bgColor rgb="FF003366"/>
      </patternFill>
    </fill>
    <fill>
      <patternFill patternType="solid">
        <fgColor rgb="FFF2F5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CEBD"/>
      </left>
      <right style="thin">
        <color rgb="FFD6CEBD"/>
      </right>
      <top style="thin">
        <color rgb="FFD6CEBD"/>
      </top>
      <bottom style="thin">
        <color rgb="FFD6CE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5257"/>
          <bgColor rgb="FF000000"/>
        </patternFill>
      </fill>
    </dxf>
    <dxf>
      <fill>
        <patternFill patternType="solid">
          <fgColor rgb="FFF2F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FF0E3"/>
          <bgColor rgb="FF000000"/>
        </patternFill>
      </fill>
    </dxf>
    <dxf>
      <fill>
        <patternFill patternType="solid">
          <fgColor rgb="FFE3E9F1"/>
          <bgColor rgb="FF000000"/>
        </patternFill>
      </fill>
    </dxf>
    <dxf>
      <fill>
        <patternFill patternType="solid">
          <fgColor rgb="FFF6D3D0"/>
          <bgColor rgb="FF000000"/>
        </patternFill>
      </fill>
    </dxf>
    <dxf>
      <fill>
        <patternFill patternType="solid">
          <fgColor rgb="FFFBE3C8"/>
          <bgColor rgb="FF000000"/>
        </patternFill>
      </fill>
    </dxf>
    <dxf>
      <fill>
        <patternFill>
          <bgColor rgb="FFDFF0E3"/>
        </patternFill>
      </fill>
    </dxf>
    <dxf>
      <fill>
        <patternFill>
          <bgColor rgb="FFFBE3C8"/>
        </patternFill>
      </fill>
    </dxf>
    <dxf>
      <fill>
        <patternFill>
          <bgColor rgb="FFF6D3D0"/>
        </patternFill>
      </fill>
    </dxf>
    <dxf>
      <fill>
        <patternFill>
          <bgColor rgb="FFE3E9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EBD"/>
      <rgbColor rgb="FF808080"/>
      <rgbColor rgb="FF9999FF"/>
      <rgbColor rgb="FF993366"/>
      <rgbColor rgb="FFF2F5F4"/>
      <rgbColor rgb="FFE3E9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E3"/>
      <rgbColor rgb="FFFBE3C8"/>
      <rgbColor rgb="FF99CCFF"/>
      <rgbColor rgb="FFFF99CC"/>
      <rgbColor rgb="FFCC99FF"/>
      <rgbColor rgb="FFF6D3D0"/>
      <rgbColor rgb="FF3366FF"/>
      <rgbColor rgb="FF33CCCC"/>
      <rgbColor rgb="FF99CC00"/>
      <rgbColor rgb="FFFFCC00"/>
      <rgbColor rgb="FFFF9900"/>
      <rgbColor rgb="FFFF6600"/>
      <rgbColor rgb="FF5661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2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3" t="n">
        <v>0.03</v>
      </c>
    </row>
    <row r="3" customFormat="false" ht="15" hidden="false" customHeight="false" outlineLevel="0" collapsed="false">
      <c r="A3" s="4" t="s">
        <v>2</v>
      </c>
    </row>
    <row r="5" customFormat="false" ht="33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customFormat="false" ht="15" hidden="false" customHeight="false" outlineLevel="0" collapsed="false">
      <c r="A6" s="6" t="n">
        <v>62010254</v>
      </c>
      <c r="B6" s="6" t="n">
        <v>9965723</v>
      </c>
      <c r="C6" s="7" t="n">
        <v>89090</v>
      </c>
      <c r="D6" s="7" t="n">
        <v>72320</v>
      </c>
      <c r="E6" s="8" t="n">
        <f aca="false">D6*(1+$D$2)</f>
        <v>74489.6</v>
      </c>
      <c r="F6" s="9" t="n">
        <f aca="false">IF(E6&gt;=C6,"No alcanza",ROUND((1-E6/C6)*100,2)/100)</f>
        <v>0.1639</v>
      </c>
      <c r="G6" s="10" t="n">
        <v>0.1639</v>
      </c>
      <c r="H6" s="7" t="n">
        <v>74490</v>
      </c>
      <c r="I6" s="8" t="n">
        <f aca="false">IF(H6="","",H6-E6)</f>
        <v>0.399999999994179</v>
      </c>
      <c r="J6" s="9" t="n">
        <f aca="false">IF(H6="","",H6/D6-1)</f>
        <v>0.0300055309734513</v>
      </c>
      <c r="K6" s="11" t="s">
        <v>15</v>
      </c>
      <c r="L6" s="12" t="s">
        <v>16</v>
      </c>
    </row>
    <row r="7" customFormat="false" ht="28.35" hidden="false" customHeight="false" outlineLevel="0" collapsed="false">
      <c r="A7" s="13" t="n">
        <v>62010253</v>
      </c>
      <c r="B7" s="13" t="n">
        <v>9965719</v>
      </c>
      <c r="C7" s="14" t="n">
        <v>130010</v>
      </c>
      <c r="D7" s="14" t="n">
        <v>90230</v>
      </c>
      <c r="E7" s="15" t="n">
        <f aca="false">D7*(1+$D$2)</f>
        <v>92936.9</v>
      </c>
      <c r="F7" s="16" t="n">
        <f aca="false">IF(E7&gt;=C7,"No alcanza",ROUND((1-E7/C7)*100,2)/100)</f>
        <v>0.2852</v>
      </c>
      <c r="G7" s="17" t="n">
        <v>0.2852</v>
      </c>
      <c r="H7" s="14" t="n">
        <v>130010</v>
      </c>
      <c r="I7" s="15" t="n">
        <f aca="false">IF(H7="","",H7-E7)</f>
        <v>37073.1</v>
      </c>
      <c r="J7" s="16" t="n">
        <f aca="false">IF(H7="","",H7/D7-1)</f>
        <v>0.44087332372825</v>
      </c>
      <c r="K7" s="18" t="s">
        <v>17</v>
      </c>
      <c r="L7" s="19" t="s">
        <v>18</v>
      </c>
    </row>
    <row r="8" customFormat="false" ht="15" hidden="false" customHeight="false" outlineLevel="0" collapsed="false">
      <c r="A8" s="6" t="n">
        <v>62010252</v>
      </c>
      <c r="B8" s="6" t="n">
        <v>9965717</v>
      </c>
      <c r="C8" s="7" t="n">
        <v>115080</v>
      </c>
      <c r="D8" s="7" t="n">
        <v>89910</v>
      </c>
      <c r="E8" s="8" t="n">
        <f aca="false">D8*(1+$D$2)</f>
        <v>92607.3</v>
      </c>
      <c r="F8" s="9" t="n">
        <f aca="false">IF(E8&gt;=C8,"No alcanza",ROUND((1-E8/C8)*100,2)/100)</f>
        <v>0.1953</v>
      </c>
      <c r="G8" s="9"/>
      <c r="H8" s="8"/>
      <c r="I8" s="8" t="str">
        <f aca="false">IF(H8="","",H8-E8)</f>
        <v/>
      </c>
      <c r="J8" s="9" t="str">
        <f aca="false">IF(H8="","",H8/D8-1)</f>
        <v/>
      </c>
      <c r="K8" s="11" t="s">
        <v>19</v>
      </c>
      <c r="L8" s="12" t="s">
        <v>20</v>
      </c>
    </row>
    <row r="9" customFormat="false" ht="15" hidden="false" customHeight="false" outlineLevel="0" collapsed="false">
      <c r="A9" s="13" t="n">
        <v>62010251</v>
      </c>
      <c r="B9" s="13" t="n">
        <v>9965716</v>
      </c>
      <c r="C9" s="14" t="n">
        <v>56300</v>
      </c>
      <c r="D9" s="14" t="n">
        <v>44590</v>
      </c>
      <c r="E9" s="15" t="n">
        <f aca="false">D9*(1+$D$2)</f>
        <v>45927.7</v>
      </c>
      <c r="F9" s="16" t="n">
        <f aca="false">IF(E9&gt;=C9,"No alcanza",ROUND((1-E9/C9)*100,2)/100)</f>
        <v>0.1842</v>
      </c>
      <c r="G9" s="17" t="n">
        <v>0.1842</v>
      </c>
      <c r="H9" s="14" t="n">
        <v>45930</v>
      </c>
      <c r="I9" s="15" t="n">
        <f aca="false">IF(H9="","",H9-E9)</f>
        <v>2.29999999999563</v>
      </c>
      <c r="J9" s="16" t="n">
        <f aca="false">IF(H9="","",H9/D9-1)</f>
        <v>0.0300515810719892</v>
      </c>
      <c r="K9" s="18" t="s">
        <v>15</v>
      </c>
      <c r="L9" s="19" t="s">
        <v>16</v>
      </c>
    </row>
    <row r="10" customFormat="false" ht="28.35" hidden="false" customHeight="false" outlineLevel="0" collapsed="false">
      <c r="A10" s="6" t="n">
        <v>62010250</v>
      </c>
      <c r="B10" s="6" t="n">
        <v>9965715</v>
      </c>
      <c r="C10" s="7" t="n">
        <v>43170</v>
      </c>
      <c r="D10" s="7" t="n">
        <v>26100</v>
      </c>
      <c r="E10" s="8" t="n">
        <f aca="false">D10*(1+$D$2)</f>
        <v>26883</v>
      </c>
      <c r="F10" s="9" t="n">
        <f aca="false">IF(E10&gt;=C10,"No alcanza",ROUND((1-E10/C10)*100,2)/100)</f>
        <v>0.3773</v>
      </c>
      <c r="G10" s="9"/>
      <c r="H10" s="8"/>
      <c r="I10" s="8" t="str">
        <f aca="false">IF(H10="","",H10-E10)</f>
        <v/>
      </c>
      <c r="J10" s="9" t="str">
        <f aca="false">IF(H10="","",H10/D10-1)</f>
        <v/>
      </c>
      <c r="K10" s="11" t="s">
        <v>21</v>
      </c>
      <c r="L10" s="12" t="s">
        <v>22</v>
      </c>
    </row>
    <row r="11" customFormat="false" ht="15" hidden="false" customHeight="false" outlineLevel="0" collapsed="false">
      <c r="A11" s="13" t="n">
        <v>62010249</v>
      </c>
      <c r="B11" s="13" t="n">
        <v>9965711</v>
      </c>
      <c r="C11" s="14" t="n">
        <v>55190</v>
      </c>
      <c r="D11" s="14" t="n">
        <v>47730</v>
      </c>
      <c r="E11" s="15" t="n">
        <f aca="false">D11*(1+$D$2)</f>
        <v>49161.9</v>
      </c>
      <c r="F11" s="16" t="n">
        <f aca="false">IF(E11&gt;=C11,"No alcanza",ROUND((1-E11/C11)*100,2)/100)</f>
        <v>0.1092</v>
      </c>
      <c r="G11" s="17" t="n">
        <v>0.1092</v>
      </c>
      <c r="H11" s="14" t="n">
        <v>49160</v>
      </c>
      <c r="I11" s="15" t="n">
        <f aca="false">IF(H11="","",H11-E11)</f>
        <v>-1.90000000000146</v>
      </c>
      <c r="J11" s="16" t="n">
        <f aca="false">IF(H11="","",H11/D11-1)</f>
        <v>0.0299601927508903</v>
      </c>
      <c r="K11" s="18" t="s">
        <v>15</v>
      </c>
      <c r="L11" s="19" t="s">
        <v>16</v>
      </c>
    </row>
    <row r="12" customFormat="false" ht="15" hidden="false" customHeight="false" outlineLevel="0" collapsed="false">
      <c r="A12" s="6" t="n">
        <v>62010194</v>
      </c>
      <c r="B12" s="6" t="n">
        <v>9965500</v>
      </c>
      <c r="C12" s="7" t="n">
        <v>167240</v>
      </c>
      <c r="D12" s="7" t="n">
        <v>108030</v>
      </c>
      <c r="E12" s="8" t="n">
        <f aca="false">D12*(1+$D$2)</f>
        <v>111270.9</v>
      </c>
      <c r="F12" s="9" t="n">
        <f aca="false">IF(E12&gt;=C12,"No alcanza",ROUND((1-E12/C12)*100,2)/100)</f>
        <v>0.3347</v>
      </c>
      <c r="G12" s="10" t="n">
        <v>0.3347</v>
      </c>
      <c r="H12" s="7" t="n">
        <v>111260</v>
      </c>
      <c r="I12" s="8" t="n">
        <f aca="false">IF(H12="","",H12-E12)</f>
        <v>-10.9000000000087</v>
      </c>
      <c r="J12" s="9" t="n">
        <f aca="false">IF(H12="","",H12/D12-1)</f>
        <v>0.0298991021012682</v>
      </c>
      <c r="K12" s="11" t="s">
        <v>15</v>
      </c>
      <c r="L12" s="12" t="s">
        <v>16</v>
      </c>
    </row>
    <row r="13" customFormat="false" ht="15" hidden="false" customHeight="false" outlineLevel="0" collapsed="false">
      <c r="A13" s="13" t="n">
        <v>62010193</v>
      </c>
      <c r="B13" s="13" t="n">
        <v>9965498</v>
      </c>
      <c r="C13" s="14" t="n">
        <v>53280</v>
      </c>
      <c r="D13" s="14" t="n">
        <v>32470</v>
      </c>
      <c r="E13" s="15" t="n">
        <f aca="false">D13*(1+$D$2)</f>
        <v>33444.1</v>
      </c>
      <c r="F13" s="16" t="n">
        <f aca="false">IF(E13&gt;=C13,"No alcanza",ROUND((1-E13/C13)*100,2)/100)</f>
        <v>0.3723</v>
      </c>
      <c r="G13" s="17" t="n">
        <v>0.3723</v>
      </c>
      <c r="H13" s="14" t="n">
        <v>33440</v>
      </c>
      <c r="I13" s="15" t="n">
        <f aca="false">IF(H13="","",H13-E13)</f>
        <v>-4.09999999999855</v>
      </c>
      <c r="J13" s="16" t="n">
        <f aca="false">IF(H13="","",H13/D13-1)</f>
        <v>0.0298737295965508</v>
      </c>
      <c r="K13" s="18" t="s">
        <v>15</v>
      </c>
      <c r="L13" s="19" t="s">
        <v>16</v>
      </c>
    </row>
    <row r="14" customFormat="false" ht="15" hidden="false" customHeight="false" outlineLevel="0" collapsed="false">
      <c r="A14" s="6" t="n">
        <v>62010086</v>
      </c>
      <c r="B14" s="6" t="n">
        <v>9964508</v>
      </c>
      <c r="C14" s="7" t="n">
        <v>7430</v>
      </c>
      <c r="D14" s="7" t="n">
        <v>7380</v>
      </c>
      <c r="E14" s="8" t="n">
        <f aca="false">D14*(1+$D$2)</f>
        <v>7601.4</v>
      </c>
      <c r="F14" s="9" t="str">
        <f aca="false">IF(E14&gt;=C14,"No alcanza",ROUND((1-E14/C14)*100,2)/100)</f>
        <v>No alcanza</v>
      </c>
      <c r="G14" s="9"/>
      <c r="H14" s="7" t="n">
        <v>7430</v>
      </c>
      <c r="I14" s="8" t="n">
        <f aca="false">IF(H14="","",H14-E14)</f>
        <v>-171.400000000001</v>
      </c>
      <c r="J14" s="9" t="n">
        <f aca="false">IF(H14="","",H14/D14-1)</f>
        <v>0.00677506775067749</v>
      </c>
      <c r="K14" s="11" t="s">
        <v>23</v>
      </c>
      <c r="L14" s="12" t="s">
        <v>24</v>
      </c>
    </row>
    <row r="15" customFormat="false" ht="15" hidden="false" customHeight="false" outlineLevel="0" collapsed="false">
      <c r="A15" s="13" t="n">
        <v>62010085</v>
      </c>
      <c r="B15" s="13" t="n">
        <v>9964506</v>
      </c>
      <c r="C15" s="14" t="n">
        <v>7070</v>
      </c>
      <c r="D15" s="14" t="n">
        <v>6890</v>
      </c>
      <c r="E15" s="15" t="n">
        <f aca="false">D15*(1+$D$2)</f>
        <v>7096.7</v>
      </c>
      <c r="F15" s="16" t="str">
        <f aca="false">IF(E15&gt;=C15,"No alcanza",ROUND((1-E15/C15)*100,2)/100)</f>
        <v>No alcanza</v>
      </c>
      <c r="G15" s="16"/>
      <c r="H15" s="14" t="n">
        <v>7070</v>
      </c>
      <c r="I15" s="15" t="n">
        <f aca="false">IF(H15="","",H15-E15)</f>
        <v>-26.6999999999998</v>
      </c>
      <c r="J15" s="16" t="n">
        <f aca="false">IF(H15="","",H15/D15-1)</f>
        <v>0.0261248185776488</v>
      </c>
      <c r="K15" s="18" t="s">
        <v>23</v>
      </c>
      <c r="L15" s="19" t="s">
        <v>24</v>
      </c>
    </row>
    <row r="16" customFormat="false" ht="15" hidden="false" customHeight="false" outlineLevel="0" collapsed="false">
      <c r="A16" s="6" t="n">
        <v>62010084</v>
      </c>
      <c r="B16" s="6" t="n">
        <v>9964501</v>
      </c>
      <c r="C16" s="7" t="n">
        <v>7070</v>
      </c>
      <c r="D16" s="7" t="n">
        <v>6890</v>
      </c>
      <c r="E16" s="8" t="n">
        <f aca="false">D16*(1+$D$2)</f>
        <v>7096.7</v>
      </c>
      <c r="F16" s="9" t="str">
        <f aca="false">IF(E16&gt;=C16,"No alcanza",ROUND((1-E16/C16)*100,2)/100)</f>
        <v>No alcanza</v>
      </c>
      <c r="G16" s="9"/>
      <c r="H16" s="7" t="n">
        <v>7070</v>
      </c>
      <c r="I16" s="8" t="n">
        <f aca="false">IF(H16="","",H16-E16)</f>
        <v>-26.6999999999998</v>
      </c>
      <c r="J16" s="9" t="n">
        <f aca="false">IF(H16="","",H16/D16-1)</f>
        <v>0.0261248185776488</v>
      </c>
      <c r="K16" s="11" t="s">
        <v>23</v>
      </c>
      <c r="L16" s="12" t="s">
        <v>24</v>
      </c>
    </row>
    <row r="17" customFormat="false" ht="15" hidden="false" customHeight="false" outlineLevel="0" collapsed="false">
      <c r="A17" s="13" t="n">
        <v>62010083</v>
      </c>
      <c r="B17" s="13" t="n">
        <v>9964499</v>
      </c>
      <c r="C17" s="14" t="n">
        <v>10770</v>
      </c>
      <c r="D17" s="14" t="n">
        <v>10690</v>
      </c>
      <c r="E17" s="15" t="n">
        <f aca="false">D17*(1+$D$2)</f>
        <v>11010.7</v>
      </c>
      <c r="F17" s="16" t="str">
        <f aca="false">IF(E17&gt;=C17,"No alcanza",ROUND((1-E17/C17)*100,2)/100)</f>
        <v>No alcanza</v>
      </c>
      <c r="G17" s="16"/>
      <c r="H17" s="14" t="n">
        <v>10770</v>
      </c>
      <c r="I17" s="15" t="n">
        <f aca="false">IF(H17="","",H17-E17)</f>
        <v>-240.700000000001</v>
      </c>
      <c r="J17" s="16" t="n">
        <f aca="false">IF(H17="","",H17/D17-1)</f>
        <v>0.00748362956033666</v>
      </c>
      <c r="K17" s="18" t="s">
        <v>23</v>
      </c>
      <c r="L17" s="19" t="s">
        <v>24</v>
      </c>
    </row>
    <row r="19" customFormat="false" ht="15" hidden="false" customHeight="false" outlineLevel="0" collapsed="false">
      <c r="A19" s="20" t="s">
        <v>25</v>
      </c>
    </row>
    <row r="20" customFormat="false" ht="15" hidden="false" customHeight="false" outlineLevel="0" collapsed="false">
      <c r="A20" s="2" t="s">
        <v>26</v>
      </c>
      <c r="B20" s="21" t="n">
        <f aca="false">COUNTA(A6:A17)</f>
        <v>12</v>
      </c>
    </row>
    <row r="21" customFormat="false" ht="15" hidden="false" customHeight="false" outlineLevel="0" collapsed="false">
      <c r="A21" s="2" t="s">
        <v>27</v>
      </c>
      <c r="B21" s="21" t="n">
        <f aca="false">COUNTIF(K6:K17,"Hecha")</f>
        <v>5</v>
      </c>
    </row>
    <row r="22" customFormat="false" ht="15" hidden="false" customHeight="false" outlineLevel="0" collapsed="false">
      <c r="A22" s="2" t="s">
        <v>28</v>
      </c>
      <c r="B22" s="21" t="n">
        <f aca="false">COUNTIF(K6:K17,"A medias")+COUNTIF(K6:K17,"No toma la bonificación")+COUNTIF(K6:K17,"Salteada")</f>
        <v>3</v>
      </c>
    </row>
    <row r="23" customFormat="false" ht="15" hidden="false" customHeight="false" outlineLevel="0" collapsed="false">
      <c r="A23" s="2" t="s">
        <v>29</v>
      </c>
      <c r="B23" s="21" t="n">
        <f aca="false">COUNTIF(K6:K17,"No alcanza")</f>
        <v>4</v>
      </c>
    </row>
    <row r="24" customFormat="false" ht="15" hidden="false" customHeight="false" outlineLevel="0" collapsed="false">
      <c r="A24" s="2" t="s">
        <v>30</v>
      </c>
      <c r="B24" s="22" t="n">
        <f aca="false">SUMIFS(D6:D17,K6:K17,"Hecha")</f>
        <v>305140</v>
      </c>
    </row>
    <row r="25" customFormat="false" ht="15" hidden="false" customHeight="false" outlineLevel="0" collapsed="false">
      <c r="A25" s="2" t="s">
        <v>31</v>
      </c>
      <c r="B25" s="22" t="n">
        <f aca="false">SUMIFS(H6:H17,K6:K17,"Hecha")</f>
        <v>314280</v>
      </c>
    </row>
    <row r="26" customFormat="false" ht="15" hidden="false" customHeight="false" outlineLevel="0" collapsed="false">
      <c r="A26" s="2" t="s">
        <v>32</v>
      </c>
      <c r="B26" s="23" t="n">
        <f aca="false">IF(B24=0,"",B25/B24-1)</f>
        <v>0.0299534639837451</v>
      </c>
    </row>
  </sheetData>
  <autoFilter ref="A5:L17"/>
  <conditionalFormatting sqref="K6:K17">
    <cfRule type="expression" priority="2" aboveAverage="0" equalAverage="0" bottom="0" percent="0" rank="0" text="" dxfId="10">
      <formula>$K6="Hecha"</formula>
    </cfRule>
    <cfRule type="expression" priority="3" aboveAverage="0" equalAverage="0" bottom="0" percent="0" rank="0" text="" dxfId="11">
      <formula>$K6="A medias"</formula>
    </cfRule>
    <cfRule type="expression" priority="4" aboveAverage="0" equalAverage="0" bottom="0" percent="0" rank="0" text="" dxfId="12">
      <formula>$K6="No toma la bonificación"</formula>
    </cfRule>
    <cfRule type="expression" priority="5" aboveAverage="0" equalAverage="0" bottom="0" percent="0" rank="0" text="" dxfId="11">
      <formula>$K6="Salteada"</formula>
    </cfRule>
    <cfRule type="expression" priority="6" aboveAverage="0" equalAverage="0" bottom="0" percent="0" rank="0" text="" dxfId="13">
      <formula>$K6="No alcanza"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0" t="s">
        <v>33</v>
      </c>
    </row>
    <row r="2" customFormat="false" ht="15" hidden="false" customHeight="false" outlineLevel="0" collapsed="false">
      <c r="A2" s="24" t="s">
        <v>34</v>
      </c>
    </row>
    <row r="3" customFormat="false" ht="15" hidden="false" customHeight="false" outlineLevel="0" collapsed="false">
      <c r="A3" s="24" t="s">
        <v>35</v>
      </c>
    </row>
    <row r="4" customFormat="false" ht="15" hidden="false" customHeight="false" outlineLevel="0" collapsed="false">
      <c r="A4" s="24" t="s">
        <v>36</v>
      </c>
    </row>
    <row r="5" customFormat="false" ht="15" hidden="false" customHeight="false" outlineLevel="0" collapsed="false">
      <c r="A5" s="24" t="s">
        <v>37</v>
      </c>
    </row>
    <row r="6" customFormat="false" ht="15" hidden="false" customHeight="false" outlineLevel="0" collapsed="false">
      <c r="A6" s="24" t="s">
        <v>38</v>
      </c>
    </row>
    <row r="7" customFormat="false" ht="15" hidden="false" customHeight="false" outlineLevel="0" collapsed="false">
      <c r="A7" s="24" t="s">
        <v>39</v>
      </c>
    </row>
    <row r="8" customFormat="false" ht="15" hidden="false" customHeight="false" outlineLevel="0" collapsed="false">
      <c r="A8" s="24"/>
    </row>
    <row r="9" customFormat="false" ht="15" hidden="false" customHeight="false" outlineLevel="0" collapsed="false">
      <c r="A9" s="25" t="s">
        <v>40</v>
      </c>
    </row>
    <row r="10" customFormat="false" ht="15" hidden="false" customHeight="false" outlineLevel="0" collapsed="false">
      <c r="A10" s="24" t="s">
        <v>41</v>
      </c>
    </row>
    <row r="11" customFormat="false" ht="15" hidden="false" customHeight="false" outlineLevel="0" collapsed="false">
      <c r="A11" s="24" t="s">
        <v>42</v>
      </c>
    </row>
    <row r="12" customFormat="false" ht="15" hidden="false" customHeight="false" outlineLevel="0" collapsed="false">
      <c r="A12" s="2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2026-10-20T12:36:27Z</dcterms:created>
  <dc:creator>openpyxl</dc:creator>
  <dc:description/>
  <dc:language>en-US</dc:language>
  <cp:lastModifiedBy/>
  <dcterms:modified xsi:type="dcterms:W3CDTF">2026-10-20T12:36:27Z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